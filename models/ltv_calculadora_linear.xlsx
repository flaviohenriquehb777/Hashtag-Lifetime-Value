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lavi\Downloads\Case_Hashtag Lifetime Value\models\"/>
    </mc:Choice>
  </mc:AlternateContent>
  <xr:revisionPtr revIDLastSave="0" documentId="13_ncr:1_{4B920178-F8A4-4282-8431-EB05611ABE1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alculadora" sheetId="1" r:id="rId1"/>
    <sheet name="Apoio" sheetId="2" state="hidden" r:id="rId2"/>
    <sheet name="Documentacao" sheetId="3" r:id="rId3"/>
  </sheets>
  <definedNames>
    <definedName name="CAC_Maximo_Recomendado">Calculadora!$B$16</definedName>
    <definedName name="CACReal_Input">Calculadora!$B$12</definedName>
    <definedName name="Categorias_Dia_Semana_Modelo">Apoio!$Y$3:$Y$8</definedName>
    <definedName name="Categorias_Fonte_Campanha_Modelo">Apoio!$M$3:$M$8</definedName>
    <definedName name="Categorias_Formacao_Modelo">Apoio!$S$3:$S$7</definedName>
    <definedName name="Categorias_Mes_Modelo">Apoio!$V$3:$V$13</definedName>
    <definedName name="Categorias_Produto_Fonte_Modelo">Apoio!$J$3:$J$11</definedName>
    <definedName name="Categorias_Sexo_Modelo">Apoio!$P$3:$P$4</definedName>
    <definedName name="Coef_Dia_Semana">Apoio!$Z$3:$Z$8</definedName>
    <definedName name="Coef_Fonte_Campanha">Apoio!$N$3:$N$8</definedName>
    <definedName name="Coef_Formacao">Apoio!$T$3:$T$7</definedName>
    <definedName name="Coef_Mes_Compra">Apoio!$W$3:$W$13</definedName>
    <definedName name="Coef_Produto_Fonte">Apoio!$K$3:$K$11</definedName>
    <definedName name="Coef_Recorrente1Compra">Apoio!$AC$6</definedName>
    <definedName name="Coef_Sexo">Apoio!$Q$3:$Q$4</definedName>
    <definedName name="Coef_Valor1Compra">Apoio!$AC$3</definedName>
    <definedName name="DiaSemanaCompra_Input">Calculadora!$B$11</definedName>
    <definedName name="FonteCampanha_Input">Calculadora!$B$7</definedName>
    <definedName name="Formacao_Input">Calculadora!$B$9</definedName>
    <definedName name="Intercepto_Modelo">Apoio!$AC$2</definedName>
    <definedName name="Lista_Dia_Semana">Apoio!$F$2:$F$8</definedName>
    <definedName name="Lista_Fonte_Campanha">Apoio!$B$2:$B$8</definedName>
    <definedName name="Lista_Formacao">Apoio!$D$2:$D$7</definedName>
    <definedName name="Lista_Mes_Compra">Apoio!$E$2:$E$13</definedName>
    <definedName name="Lista_Produto_Fonte">Apoio!$A$2:$A$11</definedName>
    <definedName name="Lista_Sexo">Apoio!$C$2:$C$4</definedName>
    <definedName name="LTV_Previsto">Calculadora!$B$15</definedName>
    <definedName name="MesCompra_Input">Calculadora!$B$10</definedName>
    <definedName name="ProdutoFonte_Input">Calculadora!$B$6</definedName>
    <definedName name="Razao_LTV_CAC_Alvo">Calculadora!$B$13</definedName>
    <definedName name="Recorrente1Compra_Input">Calculadora!$B$5</definedName>
    <definedName name="Sexo_Input">Calculadora!$B$8</definedName>
    <definedName name="Status_Aquisicao">Calculadora!$B$17</definedName>
    <definedName name="Valor1Compra_Input">Calculadora!$B$4</definedName>
    <definedName name="Valor1Compra_Mean">Apoio!$AC$4</definedName>
    <definedName name="Valor1Compra_Scale">Apoio!$AC$5</definedName>
    <definedName name="Valor1Compra_Z">Calculadora!$K$2</definedName>
  </definedNames>
  <calcPr calcId="191029" forceFullCalc="1"/>
</workbook>
</file>

<file path=xl/calcChain.xml><?xml version="1.0" encoding="utf-8"?>
<calcChain xmlns="http://schemas.openxmlformats.org/spreadsheetml/2006/main">
  <c r="K2" i="1" l="1"/>
  <c r="B15" i="1" s="1"/>
  <c r="B16" i="1" s="1"/>
  <c r="B17" i="1" s="1"/>
</calcChain>
</file>

<file path=xl/sharedStrings.xml><?xml version="1.0" encoding="utf-8"?>
<sst xmlns="http://schemas.openxmlformats.org/spreadsheetml/2006/main" count="182" uniqueCount="132">
  <si>
    <t>Calculadora de LTV</t>
  </si>
  <si>
    <t>Valor1Compra_Z</t>
  </si>
  <si>
    <t>Valor da 1ª compra (R$)</t>
  </si>
  <si>
    <t>Recorrente na 1ª compra (0/1)</t>
  </si>
  <si>
    <t>Produto Fonte</t>
  </si>
  <si>
    <t>Análise de Dados</t>
  </si>
  <si>
    <t>Fonte Campanha</t>
  </si>
  <si>
    <t>Checkout</t>
  </si>
  <si>
    <t>Sexo</t>
  </si>
  <si>
    <t>Feminino</t>
  </si>
  <si>
    <t>Formação</t>
  </si>
  <si>
    <t>Fundamental</t>
  </si>
  <si>
    <t>Mês da compra</t>
  </si>
  <si>
    <t>Dia da semana da compra</t>
  </si>
  <si>
    <t>CAC Real (R$)</t>
  </si>
  <si>
    <t>Razão LTV:CAC alvo</t>
  </si>
  <si>
    <t>LTV Previsto (R$)</t>
  </si>
  <si>
    <t>CAC Máximo Recomendado (R$)</t>
  </si>
  <si>
    <t>Status da aquisição</t>
  </si>
  <si>
    <t>Listas para validação</t>
  </si>
  <si>
    <t>Coeficientes do modelo</t>
  </si>
  <si>
    <t>Metadados</t>
  </si>
  <si>
    <t>Coef</t>
  </si>
  <si>
    <t>Mês</t>
  </si>
  <si>
    <t>Dia semana</t>
  </si>
  <si>
    <t>Intercepto</t>
  </si>
  <si>
    <t>Ciência de Dados</t>
  </si>
  <si>
    <t>Comercial</t>
  </si>
  <si>
    <t>Masculino</t>
  </si>
  <si>
    <t>Médio</t>
  </si>
  <si>
    <t>Coef_valor_1_compra</t>
  </si>
  <si>
    <t>Lançamento</t>
  </si>
  <si>
    <t>Outros</t>
  </si>
  <si>
    <t>Não informado</t>
  </si>
  <si>
    <t>Media_valor_1_compra</t>
  </si>
  <si>
    <t>Comunidade</t>
  </si>
  <si>
    <t>Lista Espera</t>
  </si>
  <si>
    <t>Superior Completo</t>
  </si>
  <si>
    <t>Escala_valor_1_compra</t>
  </si>
  <si>
    <t>Excel</t>
  </si>
  <si>
    <t>Superior Incompleto</t>
  </si>
  <si>
    <t>Coef_recorrente_1_compra</t>
  </si>
  <si>
    <t>Full Stack Javascript</t>
  </si>
  <si>
    <t>Tráfego Direto</t>
  </si>
  <si>
    <t>Superior+</t>
  </si>
  <si>
    <t>R2</t>
  </si>
  <si>
    <t>Webinar</t>
  </si>
  <si>
    <t>RMSE</t>
  </si>
  <si>
    <t>Power BI</t>
  </si>
  <si>
    <t>MAE</t>
  </si>
  <si>
    <t>Python</t>
  </si>
  <si>
    <t>Vitalício</t>
  </si>
  <si>
    <t>Documentação da calculadora</t>
  </si>
  <si>
    <t>Modelo escolhido</t>
  </si>
  <si>
    <t>Regressão Linear</t>
  </si>
  <si>
    <t>Linhas de treino</t>
  </si>
  <si>
    <t>Linhas de teste</t>
  </si>
  <si>
    <t>Período original da base</t>
  </si>
  <si>
    <t>01/01/2023 a 31/05/2024</t>
  </si>
  <si>
    <t>Observação</t>
  </si>
  <si>
    <t>Não usar fora das faixas e categorias observadas sem revalidação do modelo.</t>
  </si>
  <si>
    <t>Variáveis de input</t>
  </si>
  <si>
    <t>Variável</t>
  </si>
  <si>
    <t>Descrição</t>
  </si>
  <si>
    <t>Faixa / categorias observadas no treino</t>
  </si>
  <si>
    <t>Baseline do modelo</t>
  </si>
  <si>
    <t>valor_1_compra</t>
  </si>
  <si>
    <t>Valor da primeira compra do cliente, em R$.</t>
  </si>
  <si>
    <t>10.00 a 4,188.00</t>
  </si>
  <si>
    <t>-</t>
  </si>
  <si>
    <t>recorrente_1_compra</t>
  </si>
  <si>
    <t>Indicador binário da base tratada: 0 = não recorrente, 1 = recorrente.</t>
  </si>
  <si>
    <t>0 ou 1</t>
  </si>
  <si>
    <t>Produto de entrada do cliente na jornada comercial.</t>
  </si>
  <si>
    <t>Análise de Dados, Ciência de Dados, Comercial, Comunidade, Excel, Full Stack Javascript, Outros, Power BI, Python, Vitalício</t>
  </si>
  <si>
    <t>Origem/canal de aquisição atribuído ao cliente.</t>
  </si>
  <si>
    <t>Checkout, Comercial, Lançamento, Lista Espera, Outros, Tráfego Direto, Webinar</t>
  </si>
  <si>
    <t>Categoria de sexo consolidada na etapa de limpeza.</t>
  </si>
  <si>
    <t>Feminino, Masculino, Outros</t>
  </si>
  <si>
    <t>Formacao</t>
  </si>
  <si>
    <t>Escolaridade consolidada na etapa de limpeza.</t>
  </si>
  <si>
    <t>Fundamental, Médio, Não informado, Superior Completo, Superior Incompleto, Superior+</t>
  </si>
  <si>
    <t>mes_compra</t>
  </si>
  <si>
    <t>Mês da compra extraído da data original (1 a 12).</t>
  </si>
  <si>
    <t>1 a 12</t>
  </si>
  <si>
    <t>dia_semana_compra</t>
  </si>
  <si>
    <t>Dia da semana da compra extraído da data original (0 = segunda, 6 = domingo).</t>
  </si>
  <si>
    <t>0 a 6 (0=segunda, 6=domingo)</t>
  </si>
  <si>
    <t>Features transformadas e coeficientes (ordem exata)</t>
  </si>
  <si>
    <t>Feature</t>
  </si>
  <si>
    <t>Coeficiente</t>
  </si>
  <si>
    <t>num__valor_1_compra</t>
  </si>
  <si>
    <t>cat__Produto Fonte_Ciência de Dados</t>
  </si>
  <si>
    <t>cat__Produto Fonte_Comercial</t>
  </si>
  <si>
    <t>cat__Produto Fonte_Comunidade</t>
  </si>
  <si>
    <t>cat__Produto Fonte_Excel</t>
  </si>
  <si>
    <t>cat__Produto Fonte_Full Stack Javascript</t>
  </si>
  <si>
    <t>cat__Produto Fonte_Outros</t>
  </si>
  <si>
    <t>cat__Produto Fonte_Power BI</t>
  </si>
  <si>
    <t>cat__Produto Fonte_Python</t>
  </si>
  <si>
    <t>cat__Produto Fonte_Vitalício</t>
  </si>
  <si>
    <t>cat__Fonte Campanha_Comercial</t>
  </si>
  <si>
    <t>cat__Fonte Campanha_Lançamento</t>
  </si>
  <si>
    <t>cat__Fonte Campanha_Lista Espera</t>
  </si>
  <si>
    <t>cat__Fonte Campanha_Outros</t>
  </si>
  <si>
    <t>cat__Fonte Campanha_Tráfego Direto</t>
  </si>
  <si>
    <t>cat__Fonte Campanha_Webinar</t>
  </si>
  <si>
    <t>cat__Sexo_Masculino</t>
  </si>
  <si>
    <t>cat__Sexo_Outros</t>
  </si>
  <si>
    <t>cat__Formacao_Médio</t>
  </si>
  <si>
    <t>cat__Formacao_Não informado</t>
  </si>
  <si>
    <t>cat__Formacao_Superior Completo</t>
  </si>
  <si>
    <t>cat__Formacao_Superior Incompleto</t>
  </si>
  <si>
    <t>cat__Formacao_Superior+</t>
  </si>
  <si>
    <t>cat__dia_semana_compra_1</t>
  </si>
  <si>
    <t>cat__dia_semana_compra_2</t>
  </si>
  <si>
    <t>cat__dia_semana_compra_3</t>
  </si>
  <si>
    <t>cat__dia_semana_compra_4</t>
  </si>
  <si>
    <t>cat__dia_semana_compra_5</t>
  </si>
  <si>
    <t>cat__dia_semana_compra_6</t>
  </si>
  <si>
    <t>cat__mes_compra_2</t>
  </si>
  <si>
    <t>cat__mes_compra_3</t>
  </si>
  <si>
    <t>cat__mes_compra_4</t>
  </si>
  <si>
    <t>cat__mes_compra_5</t>
  </si>
  <si>
    <t>cat__mes_compra_6</t>
  </si>
  <si>
    <t>cat__mes_compra_7</t>
  </si>
  <si>
    <t>cat__mes_compra_8</t>
  </si>
  <si>
    <t>cat__mes_compra_9</t>
  </si>
  <si>
    <t>cat__mes_compra_10</t>
  </si>
  <si>
    <t>cat__mes_compra_11</t>
  </si>
  <si>
    <t>cat__mes_compra_12</t>
  </si>
  <si>
    <t>pass__recorrente_1_compra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</si>
</sst>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/>
    <xf numFmtId="164" fontId="0" fillId="4" borderId="1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164" fontId="2" fillId="0" borderId="1" xfId="0" applyNumberFormat="1" applyFont="1" applyBorder="1"/>
    <xf numFmtId="0" fontId="2" fillId="0" borderId="1" xfId="0" applyFont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sqref="A1:D1"/>
    </sheetView>
  </sheetViews>
  <sheetFormatPr defaultRowHeight="14.25" x14ac:dyDescent="0.45"/>
  <cols>
    <col min="1" max="1" width="32" customWidth="1"/>
    <col min="2" max="6" width="24" customWidth="1"/>
    <col min="10" max="11" width="13" hidden="1" customWidth="1"/>
  </cols>
  <sheetData>
    <row r="1" spans="1:11" ht="18" x14ac:dyDescent="0.55000000000000004">
      <c r="A1" s="9" t="s">
        <v>0</v>
      </c>
      <c r="B1" s="10"/>
      <c r="C1" s="10"/>
      <c r="D1" s="10"/>
    </row>
    <row r="2" spans="1:11" x14ac:dyDescent="0.45">
      <c r="J2" t="s">
        <v>1</v>
      </c>
      <c r="K2">
        <f>(Valor1Compra_Input-Valor1Compra_Mean)/Valor1Compra_Scale</f>
        <v>1.1771761812025816</v>
      </c>
    </row>
    <row r="4" spans="1:11" x14ac:dyDescent="0.45">
      <c r="A4" s="1" t="s">
        <v>2</v>
      </c>
      <c r="B4" s="2">
        <v>1499</v>
      </c>
    </row>
    <row r="5" spans="1:11" x14ac:dyDescent="0.45">
      <c r="A5" s="1" t="s">
        <v>3</v>
      </c>
      <c r="B5" s="3">
        <v>1</v>
      </c>
    </row>
    <row r="6" spans="1:11" x14ac:dyDescent="0.45">
      <c r="A6" s="1" t="s">
        <v>4</v>
      </c>
      <c r="B6" s="3" t="s">
        <v>51</v>
      </c>
    </row>
    <row r="7" spans="1:11" x14ac:dyDescent="0.45">
      <c r="A7" s="1" t="s">
        <v>6</v>
      </c>
      <c r="B7" s="3" t="s">
        <v>27</v>
      </c>
    </row>
    <row r="8" spans="1:11" x14ac:dyDescent="0.45">
      <c r="A8" s="1" t="s">
        <v>8</v>
      </c>
      <c r="B8" s="3" t="s">
        <v>28</v>
      </c>
    </row>
    <row r="9" spans="1:11" x14ac:dyDescent="0.45">
      <c r="A9" s="1" t="s">
        <v>10</v>
      </c>
      <c r="B9" s="3" t="s">
        <v>44</v>
      </c>
    </row>
    <row r="10" spans="1:11" x14ac:dyDescent="0.45">
      <c r="A10" s="1" t="s">
        <v>12</v>
      </c>
      <c r="B10" s="3">
        <v>11</v>
      </c>
    </row>
    <row r="11" spans="1:11" x14ac:dyDescent="0.45">
      <c r="A11" s="1" t="s">
        <v>13</v>
      </c>
      <c r="B11" s="3">
        <v>4</v>
      </c>
    </row>
    <row r="12" spans="1:11" x14ac:dyDescent="0.45">
      <c r="A12" s="1" t="s">
        <v>14</v>
      </c>
      <c r="B12" s="2">
        <v>1200</v>
      </c>
    </row>
    <row r="13" spans="1:11" x14ac:dyDescent="0.45">
      <c r="A13" s="1" t="s">
        <v>15</v>
      </c>
      <c r="B13" s="3">
        <v>3</v>
      </c>
    </row>
    <row r="15" spans="1:11" x14ac:dyDescent="0.45">
      <c r="A15" s="1" t="s">
        <v>16</v>
      </c>
      <c r="B15" s="4">
        <f>Intercepto_Modelo+Coef_Valor1Compra*Valor1Compra_Z+Coef_Recorrente1Compra*Recorrente1Compra_Input+SUMPRODUCT(--(ProdutoFonte_Input=Categorias_Produto_Fonte_Modelo),Coef_Produto_Fonte)+SUMPRODUCT(--(FonteCampanha_Input=Categorias_Fonte_Campanha_Modelo),Coef_Fonte_Campanha)+SUMPRODUCT(--(Sexo_Input=Categorias_Sexo_Modelo),Coef_Sexo)+SUMPRODUCT(--(Formacao_Input=Categorias_Formacao_Modelo),Coef_Formacao)+SUMPRODUCT(--(MesCompra_Input=Categorias_Mes_Modelo),Coef_Mes_Compra)+SUMPRODUCT(--(DiaSemanaCompra_Input=Categorias_Dia_Semana_Modelo),Coef_Dia_Semana)</f>
        <v>3801.2800568884718</v>
      </c>
    </row>
    <row r="16" spans="1:11" x14ac:dyDescent="0.45">
      <c r="A16" s="1" t="s">
        <v>17</v>
      </c>
      <c r="B16" s="4">
        <f>IFERROR(LTV_Previsto/Razao_LTV_CAC_Alvo,"")</f>
        <v>1267.0933522961573</v>
      </c>
    </row>
    <row r="17" spans="1:2" x14ac:dyDescent="0.45">
      <c r="A17" s="1" t="s">
        <v>18</v>
      </c>
      <c r="B17" s="5" t="str">
        <f>IF(CACReal_Input="","Sem CAC informado",IF(CACReal_Input&lt;=CAC_Maximo_Recomendado*0.9,"Saudável",IF(CACReal_Input&lt;=CAC_Maximo_Recomendado,"No limite","Acima do recomendado")))</f>
        <v>No limite</v>
      </c>
    </row>
  </sheetData>
  <sheetProtection password="CCF0" sheet="1"/>
  <mergeCells count="1">
    <mergeCell ref="A1:D1"/>
  </mergeCells>
  <conditionalFormatting sqref="B17">
    <cfRule type="expression" dxfId="2" priority="1">
      <formula>$B$17="Saudável"</formula>
    </cfRule>
    <cfRule type="expression" dxfId="1" priority="2">
      <formula>$B$17="No limite"</formula>
    </cfRule>
    <cfRule type="expression" dxfId="0" priority="3">
      <formula>$B$17="Acima do recomendado"</formula>
    </cfRule>
  </conditionalFormatting>
  <dataValidations count="9">
    <dataValidation type="decimal" operator="greaterThan" sqref="B4 B13" xr:uid="{00000000-0002-0000-0000-000000000000}">
      <formula1>0</formula1>
    </dataValidation>
    <dataValidation type="list" sqref="B5" xr:uid="{00000000-0002-0000-0000-000001000000}">
      <formula1>"0,1"</formula1>
    </dataValidation>
    <dataValidation type="list" sqref="B6" xr:uid="{00000000-0002-0000-0000-000002000000}">
      <formula1>Lista_Produto_Fonte</formula1>
    </dataValidation>
    <dataValidation type="list" sqref="B7" xr:uid="{00000000-0002-0000-0000-000003000000}">
      <formula1>Lista_Fonte_Campanha</formula1>
    </dataValidation>
    <dataValidation type="list" sqref="B8" xr:uid="{00000000-0002-0000-0000-000004000000}">
      <formula1>Lista_Sexo</formula1>
    </dataValidation>
    <dataValidation type="list" sqref="B9" xr:uid="{00000000-0002-0000-0000-000005000000}">
      <formula1>Lista_Formacao</formula1>
    </dataValidation>
    <dataValidation type="list" sqref="B10" xr:uid="{00000000-0002-0000-0000-000006000000}">
      <formula1>Lista_Mes_Compra</formula1>
    </dataValidation>
    <dataValidation type="list" sqref="B11" xr:uid="{00000000-0002-0000-0000-000007000000}">
      <formula1>Lista_Dia_Semana</formula1>
    </dataValidation>
    <dataValidation type="decimal" operator="greaterThanOrEqual" allowBlank="1" sqref="B12" xr:uid="{00000000-0002-0000-0000-000008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/>
  </sheetViews>
  <sheetFormatPr defaultRowHeight="14.25" x14ac:dyDescent="0.45"/>
  <sheetData>
    <row r="1" spans="1:29" x14ac:dyDescent="0.45">
      <c r="A1" t="s">
        <v>19</v>
      </c>
      <c r="J1" t="s">
        <v>20</v>
      </c>
      <c r="AB1" t="s">
        <v>21</v>
      </c>
    </row>
    <row r="2" spans="1:29" x14ac:dyDescent="0.45">
      <c r="A2" t="s">
        <v>5</v>
      </c>
      <c r="B2" t="s">
        <v>7</v>
      </c>
      <c r="C2" t="s">
        <v>9</v>
      </c>
      <c r="D2" t="s">
        <v>11</v>
      </c>
      <c r="E2">
        <v>1</v>
      </c>
      <c r="F2">
        <v>0</v>
      </c>
      <c r="J2" t="s">
        <v>4</v>
      </c>
      <c r="K2" t="s">
        <v>22</v>
      </c>
      <c r="M2" t="s">
        <v>6</v>
      </c>
      <c r="N2" t="s">
        <v>22</v>
      </c>
      <c r="P2" t="s">
        <v>8</v>
      </c>
      <c r="Q2" t="s">
        <v>22</v>
      </c>
      <c r="S2" t="s">
        <v>10</v>
      </c>
      <c r="T2" t="s">
        <v>22</v>
      </c>
      <c r="V2" t="s">
        <v>23</v>
      </c>
      <c r="W2" t="s">
        <v>22</v>
      </c>
      <c r="Y2" t="s">
        <v>24</v>
      </c>
      <c r="Z2" t="s">
        <v>22</v>
      </c>
      <c r="AB2" t="s">
        <v>25</v>
      </c>
      <c r="AC2">
        <v>2566.7846881676328</v>
      </c>
    </row>
    <row r="3" spans="1:29" x14ac:dyDescent="0.45">
      <c r="A3" t="s">
        <v>26</v>
      </c>
      <c r="B3" t="s">
        <v>27</v>
      </c>
      <c r="C3" t="s">
        <v>28</v>
      </c>
      <c r="D3" t="s">
        <v>29</v>
      </c>
      <c r="E3">
        <v>2</v>
      </c>
      <c r="F3">
        <v>1</v>
      </c>
      <c r="J3" t="s">
        <v>26</v>
      </c>
      <c r="K3">
        <v>248.42075380163141</v>
      </c>
      <c r="M3" t="s">
        <v>27</v>
      </c>
      <c r="N3">
        <v>-133.96398732702849</v>
      </c>
      <c r="P3" t="s">
        <v>28</v>
      </c>
      <c r="Q3">
        <v>9.8921540209079968</v>
      </c>
      <c r="S3" t="s">
        <v>29</v>
      </c>
      <c r="T3">
        <v>-7.1909242567868246</v>
      </c>
      <c r="V3">
        <v>2</v>
      </c>
      <c r="W3">
        <v>6.451139227413238</v>
      </c>
      <c r="Y3">
        <v>1</v>
      </c>
      <c r="Z3">
        <v>13.29661373540104</v>
      </c>
      <c r="AB3" t="s">
        <v>30</v>
      </c>
      <c r="AC3">
        <v>1013.414570625487</v>
      </c>
    </row>
    <row r="4" spans="1:29" x14ac:dyDescent="0.45">
      <c r="A4" t="s">
        <v>27</v>
      </c>
      <c r="B4" t="s">
        <v>31</v>
      </c>
      <c r="C4" t="s">
        <v>32</v>
      </c>
      <c r="D4" t="s">
        <v>33</v>
      </c>
      <c r="E4">
        <v>3</v>
      </c>
      <c r="F4">
        <v>2</v>
      </c>
      <c r="J4" t="s">
        <v>27</v>
      </c>
      <c r="K4">
        <v>152.59066359771339</v>
      </c>
      <c r="M4" t="s">
        <v>31</v>
      </c>
      <c r="N4">
        <v>-211.87782002476271</v>
      </c>
      <c r="P4" t="s">
        <v>32</v>
      </c>
      <c r="Q4">
        <v>6.9541217303619316</v>
      </c>
      <c r="S4" t="s">
        <v>33</v>
      </c>
      <c r="T4">
        <v>-7.2142064075851113</v>
      </c>
      <c r="V4">
        <v>3</v>
      </c>
      <c r="W4">
        <v>7.9376074981815901</v>
      </c>
      <c r="Y4">
        <v>2</v>
      </c>
      <c r="Z4">
        <v>-2.0679471899564899</v>
      </c>
      <c r="AB4" t="s">
        <v>34</v>
      </c>
      <c r="AC4">
        <v>715.11077476339722</v>
      </c>
    </row>
    <row r="5" spans="1:29" x14ac:dyDescent="0.45">
      <c r="A5" t="s">
        <v>35</v>
      </c>
      <c r="B5" t="s">
        <v>36</v>
      </c>
      <c r="D5" t="s">
        <v>37</v>
      </c>
      <c r="E5">
        <v>4</v>
      </c>
      <c r="F5">
        <v>3</v>
      </c>
      <c r="J5" t="s">
        <v>35</v>
      </c>
      <c r="K5">
        <v>-148.69835995409261</v>
      </c>
      <c r="M5" t="s">
        <v>36</v>
      </c>
      <c r="N5">
        <v>-412.97521056780408</v>
      </c>
      <c r="S5" t="s">
        <v>37</v>
      </c>
      <c r="T5">
        <v>2.2947583986944098</v>
      </c>
      <c r="V5">
        <v>4</v>
      </c>
      <c r="W5">
        <v>11.45341378656129</v>
      </c>
      <c r="Y5">
        <v>3</v>
      </c>
      <c r="Z5">
        <v>-8.5189788251284249</v>
      </c>
      <c r="AB5" t="s">
        <v>38</v>
      </c>
      <c r="AC5">
        <v>665.90646137249894</v>
      </c>
    </row>
    <row r="6" spans="1:29" x14ac:dyDescent="0.45">
      <c r="A6" t="s">
        <v>39</v>
      </c>
      <c r="B6" t="s">
        <v>32</v>
      </c>
      <c r="D6" t="s">
        <v>40</v>
      </c>
      <c r="E6">
        <v>5</v>
      </c>
      <c r="F6">
        <v>4</v>
      </c>
      <c r="J6" t="s">
        <v>39</v>
      </c>
      <c r="K6">
        <v>-95.630613832134671</v>
      </c>
      <c r="M6" t="s">
        <v>32</v>
      </c>
      <c r="N6">
        <v>-612.5743565647997</v>
      </c>
      <c r="S6" t="s">
        <v>40</v>
      </c>
      <c r="T6">
        <v>-4.3908990202836051</v>
      </c>
      <c r="V6">
        <v>5</v>
      </c>
      <c r="W6">
        <v>-25.705695266911999</v>
      </c>
      <c r="Y6">
        <v>4</v>
      </c>
      <c r="Z6">
        <v>4.1512020266008802</v>
      </c>
      <c r="AB6" t="s">
        <v>41</v>
      </c>
      <c r="AC6">
        <v>-368.66183245301357</v>
      </c>
    </row>
    <row r="7" spans="1:29" x14ac:dyDescent="0.45">
      <c r="A7" t="s">
        <v>42</v>
      </c>
      <c r="B7" t="s">
        <v>43</v>
      </c>
      <c r="D7" t="s">
        <v>44</v>
      </c>
      <c r="E7">
        <v>6</v>
      </c>
      <c r="F7">
        <v>5</v>
      </c>
      <c r="J7" t="s">
        <v>42</v>
      </c>
      <c r="K7">
        <v>50.143144730584957</v>
      </c>
      <c r="M7" t="s">
        <v>43</v>
      </c>
      <c r="N7">
        <v>-528.85592427113238</v>
      </c>
      <c r="S7" t="s">
        <v>44</v>
      </c>
      <c r="T7">
        <v>-3.7549504077308589</v>
      </c>
      <c r="V7">
        <v>6</v>
      </c>
      <c r="W7">
        <v>11.443622140310209</v>
      </c>
      <c r="Y7">
        <v>5</v>
      </c>
      <c r="Z7">
        <v>10.31836382818144</v>
      </c>
      <c r="AB7" t="s">
        <v>45</v>
      </c>
      <c r="AC7">
        <v>0.84772389789579117</v>
      </c>
    </row>
    <row r="8" spans="1:29" x14ac:dyDescent="0.45">
      <c r="A8" t="s">
        <v>32</v>
      </c>
      <c r="B8" t="s">
        <v>46</v>
      </c>
      <c r="E8">
        <v>7</v>
      </c>
      <c r="F8">
        <v>6</v>
      </c>
      <c r="J8" t="s">
        <v>32</v>
      </c>
      <c r="K8">
        <v>-40.849239833777368</v>
      </c>
      <c r="M8" t="s">
        <v>46</v>
      </c>
      <c r="N8">
        <v>-168.15753321073021</v>
      </c>
      <c r="V8">
        <v>7</v>
      </c>
      <c r="W8">
        <v>-12.46905652426608</v>
      </c>
      <c r="Y8">
        <v>6</v>
      </c>
      <c r="Z8">
        <v>6.0032747019577997</v>
      </c>
      <c r="AB8" t="s">
        <v>47</v>
      </c>
      <c r="AC8">
        <v>507.79156870553157</v>
      </c>
    </row>
    <row r="9" spans="1:29" x14ac:dyDescent="0.45">
      <c r="A9" t="s">
        <v>48</v>
      </c>
      <c r="E9">
        <v>8</v>
      </c>
      <c r="J9" t="s">
        <v>48</v>
      </c>
      <c r="K9">
        <v>194.68442437634241</v>
      </c>
      <c r="V9">
        <v>8</v>
      </c>
      <c r="W9">
        <v>-28.681686686259638</v>
      </c>
      <c r="AB9" t="s">
        <v>49</v>
      </c>
      <c r="AC9">
        <v>404.08575210225263</v>
      </c>
    </row>
    <row r="10" spans="1:29" x14ac:dyDescent="0.45">
      <c r="A10" t="s">
        <v>50</v>
      </c>
      <c r="E10">
        <v>9</v>
      </c>
      <c r="J10" t="s">
        <v>50</v>
      </c>
      <c r="K10">
        <v>0.78127145972263579</v>
      </c>
      <c r="V10">
        <v>9</v>
      </c>
      <c r="W10">
        <v>23.399614628654501</v>
      </c>
    </row>
    <row r="11" spans="1:29" x14ac:dyDescent="0.45">
      <c r="A11" t="s">
        <v>51</v>
      </c>
      <c r="E11">
        <v>10</v>
      </c>
      <c r="J11" t="s">
        <v>51</v>
      </c>
      <c r="K11">
        <v>510.90560418421308</v>
      </c>
      <c r="V11">
        <v>10</v>
      </c>
      <c r="W11">
        <v>12.45961217422586</v>
      </c>
    </row>
    <row r="12" spans="1:29" x14ac:dyDescent="0.45">
      <c r="E12">
        <v>11</v>
      </c>
      <c r="V12">
        <v>11</v>
      </c>
      <c r="W12">
        <v>22.959684452925259</v>
      </c>
    </row>
    <row r="13" spans="1:29" x14ac:dyDescent="0.45">
      <c r="E13">
        <v>12</v>
      </c>
      <c r="V13">
        <v>12</v>
      </c>
      <c r="W13">
        <v>13.1071333087621</v>
      </c>
    </row>
  </sheetData>
  <sheetProtection password="CCF0"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workbookViewId="0">
      <pane ySplit="14" topLeftCell="A15" activePane="bottomLeft" state="frozen"/>
      <selection pane="bottomLeft"/>
    </sheetView>
  </sheetViews>
  <sheetFormatPr defaultRowHeight="14.25" x14ac:dyDescent="0.45"/>
  <cols>
    <col min="1" max="1" width="28" customWidth="1"/>
    <col min="2" max="3" width="45" customWidth="1"/>
    <col min="4" max="6" width="24" customWidth="1"/>
  </cols>
  <sheetData>
    <row r="1" spans="1:6" x14ac:dyDescent="0.45">
      <c r="A1" s="11" t="s">
        <v>52</v>
      </c>
      <c r="B1" s="12"/>
      <c r="C1" s="12"/>
      <c r="D1" s="12"/>
      <c r="E1" s="12"/>
      <c r="F1" s="12"/>
    </row>
    <row r="2" spans="1:6" x14ac:dyDescent="0.45">
      <c r="A2" s="6"/>
      <c r="B2" s="6"/>
      <c r="C2" s="6"/>
      <c r="D2" s="6"/>
      <c r="E2" s="6"/>
      <c r="F2" s="6"/>
    </row>
    <row r="3" spans="1:6" x14ac:dyDescent="0.45">
      <c r="A3" s="6" t="s">
        <v>53</v>
      </c>
      <c r="B3" s="6" t="s">
        <v>54</v>
      </c>
      <c r="C3" s="6"/>
      <c r="D3" s="6"/>
      <c r="E3" s="6"/>
      <c r="F3" s="6"/>
    </row>
    <row r="4" spans="1:6" x14ac:dyDescent="0.45">
      <c r="A4" s="6" t="s">
        <v>45</v>
      </c>
      <c r="B4" s="6">
        <v>0.84772389789579117</v>
      </c>
      <c r="C4" s="6"/>
      <c r="D4" s="6"/>
      <c r="E4" s="6"/>
      <c r="F4" s="6"/>
    </row>
    <row r="5" spans="1:6" x14ac:dyDescent="0.45">
      <c r="A5" s="6" t="s">
        <v>47</v>
      </c>
      <c r="B5" s="6">
        <v>507.79156870553157</v>
      </c>
      <c r="C5" s="6"/>
      <c r="D5" s="6"/>
      <c r="E5" s="6"/>
      <c r="F5" s="6"/>
    </row>
    <row r="6" spans="1:6" x14ac:dyDescent="0.45">
      <c r="A6" s="6" t="s">
        <v>49</v>
      </c>
      <c r="B6" s="6">
        <v>404.08575210225263</v>
      </c>
      <c r="C6" s="6"/>
      <c r="D6" s="6"/>
      <c r="E6" s="6"/>
      <c r="F6" s="6"/>
    </row>
    <row r="7" spans="1:6" x14ac:dyDescent="0.45">
      <c r="A7" s="6" t="s">
        <v>25</v>
      </c>
      <c r="B7" s="6">
        <v>2566.7846881676328</v>
      </c>
      <c r="C7" s="6"/>
      <c r="D7" s="6"/>
      <c r="E7" s="6"/>
      <c r="F7" s="6"/>
    </row>
    <row r="8" spans="1:6" x14ac:dyDescent="0.45">
      <c r="A8" s="6" t="s">
        <v>55</v>
      </c>
      <c r="B8" s="6">
        <v>31002</v>
      </c>
      <c r="C8" s="6"/>
      <c r="D8" s="6"/>
      <c r="E8" s="6"/>
      <c r="F8" s="6"/>
    </row>
    <row r="9" spans="1:6" x14ac:dyDescent="0.45">
      <c r="A9" s="6" t="s">
        <v>56</v>
      </c>
      <c r="B9" s="6">
        <v>7751</v>
      </c>
      <c r="C9" s="6"/>
      <c r="D9" s="6"/>
      <c r="E9" s="6"/>
      <c r="F9" s="6"/>
    </row>
    <row r="10" spans="1:6" x14ac:dyDescent="0.45">
      <c r="A10" s="6" t="s">
        <v>57</v>
      </c>
      <c r="B10" s="6" t="s">
        <v>58</v>
      </c>
      <c r="C10" s="6"/>
      <c r="D10" s="6"/>
      <c r="E10" s="6"/>
      <c r="F10" s="6"/>
    </row>
    <row r="11" spans="1:6" ht="28.5" x14ac:dyDescent="0.45">
      <c r="A11" s="6" t="s">
        <v>59</v>
      </c>
      <c r="B11" s="6" t="s">
        <v>60</v>
      </c>
      <c r="C11" s="6"/>
      <c r="D11" s="6"/>
      <c r="E11" s="6"/>
      <c r="F11" s="6"/>
    </row>
    <row r="12" spans="1:6" x14ac:dyDescent="0.45">
      <c r="A12" s="6"/>
      <c r="B12" s="6"/>
      <c r="C12" s="6"/>
      <c r="D12" s="6"/>
      <c r="E12" s="6"/>
      <c r="F12" s="6"/>
    </row>
    <row r="13" spans="1:6" x14ac:dyDescent="0.45">
      <c r="A13" s="6"/>
      <c r="B13" s="6"/>
      <c r="C13" s="6"/>
      <c r="D13" s="6"/>
      <c r="E13" s="6"/>
      <c r="F13" s="6"/>
    </row>
    <row r="14" spans="1:6" x14ac:dyDescent="0.45">
      <c r="A14" s="7" t="s">
        <v>61</v>
      </c>
      <c r="B14" s="6"/>
      <c r="C14" s="6"/>
      <c r="D14" s="6"/>
      <c r="E14" s="6"/>
      <c r="F14" s="6"/>
    </row>
    <row r="15" spans="1:6" x14ac:dyDescent="0.45">
      <c r="A15" s="8" t="s">
        <v>62</v>
      </c>
      <c r="B15" s="8" t="s">
        <v>63</v>
      </c>
      <c r="C15" s="8" t="s">
        <v>64</v>
      </c>
      <c r="D15" s="8" t="s">
        <v>65</v>
      </c>
      <c r="E15" s="6"/>
      <c r="F15" s="6"/>
    </row>
    <row r="16" spans="1:6" x14ac:dyDescent="0.45">
      <c r="A16" s="6" t="s">
        <v>66</v>
      </c>
      <c r="B16" s="6" t="s">
        <v>67</v>
      </c>
      <c r="C16" s="6" t="s">
        <v>68</v>
      </c>
      <c r="D16" s="6" t="s">
        <v>69</v>
      </c>
      <c r="E16" s="6"/>
      <c r="F16" s="6"/>
    </row>
    <row r="17" spans="1:6" ht="28.5" x14ac:dyDescent="0.45">
      <c r="A17" s="6" t="s">
        <v>70</v>
      </c>
      <c r="B17" s="6" t="s">
        <v>71</v>
      </c>
      <c r="C17" s="6" t="s">
        <v>72</v>
      </c>
      <c r="D17" s="6" t="s">
        <v>69</v>
      </c>
      <c r="E17" s="6"/>
      <c r="F17" s="6"/>
    </row>
    <row r="18" spans="1:6" ht="42.75" x14ac:dyDescent="0.45">
      <c r="A18" s="6" t="s">
        <v>4</v>
      </c>
      <c r="B18" s="6" t="s">
        <v>73</v>
      </c>
      <c r="C18" s="6" t="s">
        <v>74</v>
      </c>
      <c r="D18" s="6" t="s">
        <v>5</v>
      </c>
      <c r="E18" s="6"/>
      <c r="F18" s="6"/>
    </row>
    <row r="19" spans="1:6" ht="28.5" x14ac:dyDescent="0.45">
      <c r="A19" s="6" t="s">
        <v>6</v>
      </c>
      <c r="B19" s="6" t="s">
        <v>75</v>
      </c>
      <c r="C19" s="6" t="s">
        <v>76</v>
      </c>
      <c r="D19" s="6" t="s">
        <v>7</v>
      </c>
      <c r="E19" s="6"/>
      <c r="F19" s="6"/>
    </row>
    <row r="20" spans="1:6" x14ac:dyDescent="0.45">
      <c r="A20" s="6" t="s">
        <v>8</v>
      </c>
      <c r="B20" s="6" t="s">
        <v>77</v>
      </c>
      <c r="C20" s="6" t="s">
        <v>78</v>
      </c>
      <c r="D20" s="6" t="s">
        <v>9</v>
      </c>
      <c r="E20" s="6"/>
      <c r="F20" s="6"/>
    </row>
    <row r="21" spans="1:6" ht="28.5" x14ac:dyDescent="0.45">
      <c r="A21" s="6" t="s">
        <v>79</v>
      </c>
      <c r="B21" s="6" t="s">
        <v>80</v>
      </c>
      <c r="C21" s="6" t="s">
        <v>81</v>
      </c>
      <c r="D21" s="6" t="s">
        <v>11</v>
      </c>
      <c r="E21" s="6"/>
      <c r="F21" s="6"/>
    </row>
    <row r="22" spans="1:6" x14ac:dyDescent="0.45">
      <c r="A22" s="6" t="s">
        <v>82</v>
      </c>
      <c r="B22" s="6" t="s">
        <v>83</v>
      </c>
      <c r="C22" s="6" t="s">
        <v>84</v>
      </c>
      <c r="D22" s="6">
        <v>1</v>
      </c>
      <c r="E22" s="6"/>
      <c r="F22" s="6"/>
    </row>
    <row r="23" spans="1:6" ht="28.5" x14ac:dyDescent="0.45">
      <c r="A23" s="6" t="s">
        <v>85</v>
      </c>
      <c r="B23" s="6" t="s">
        <v>86</v>
      </c>
      <c r="C23" s="6" t="s">
        <v>87</v>
      </c>
      <c r="D23" s="6">
        <v>0</v>
      </c>
      <c r="E23" s="6"/>
      <c r="F23" s="6"/>
    </row>
    <row r="24" spans="1:6" x14ac:dyDescent="0.45">
      <c r="A24" s="6"/>
      <c r="B24" s="6"/>
      <c r="C24" s="6"/>
      <c r="D24" s="6"/>
      <c r="E24" s="6"/>
      <c r="F24" s="6"/>
    </row>
    <row r="25" spans="1:6" x14ac:dyDescent="0.45">
      <c r="A25" s="6"/>
      <c r="B25" s="6"/>
      <c r="C25" s="6"/>
      <c r="D25" s="6"/>
      <c r="E25" s="6"/>
      <c r="F25" s="6"/>
    </row>
    <row r="26" spans="1:6" x14ac:dyDescent="0.45">
      <c r="A26" s="6"/>
      <c r="B26" s="6"/>
      <c r="C26" s="6"/>
      <c r="D26" s="6"/>
      <c r="E26" s="6"/>
      <c r="F26" s="6"/>
    </row>
    <row r="27" spans="1:6" ht="28.5" x14ac:dyDescent="0.45">
      <c r="A27" s="7" t="s">
        <v>88</v>
      </c>
      <c r="B27" s="6"/>
      <c r="C27" s="6"/>
      <c r="D27" s="6"/>
      <c r="E27" s="6"/>
      <c r="F27" s="6"/>
    </row>
    <row r="28" spans="1:6" x14ac:dyDescent="0.45">
      <c r="A28" s="8" t="s">
        <v>89</v>
      </c>
      <c r="B28" s="8" t="s">
        <v>90</v>
      </c>
      <c r="C28" s="6"/>
      <c r="D28" s="6"/>
      <c r="E28" s="6"/>
      <c r="F28" s="6"/>
    </row>
    <row r="29" spans="1:6" x14ac:dyDescent="0.45">
      <c r="A29" s="6" t="s">
        <v>91</v>
      </c>
      <c r="B29" s="6">
        <v>1013.414570625487</v>
      </c>
      <c r="C29" s="6"/>
      <c r="D29" s="6"/>
      <c r="E29" s="6"/>
      <c r="F29" s="6"/>
    </row>
    <row r="30" spans="1:6" ht="28.5" x14ac:dyDescent="0.45">
      <c r="A30" s="6" t="s">
        <v>92</v>
      </c>
      <c r="B30" s="6">
        <v>248.42075380163141</v>
      </c>
      <c r="C30" s="6"/>
      <c r="D30" s="6"/>
      <c r="E30" s="6"/>
      <c r="F30" s="6"/>
    </row>
    <row r="31" spans="1:6" x14ac:dyDescent="0.45">
      <c r="A31" s="6" t="s">
        <v>93</v>
      </c>
      <c r="B31" s="6">
        <v>152.59066359771339</v>
      </c>
      <c r="C31" s="6"/>
      <c r="D31" s="6"/>
      <c r="E31" s="6"/>
      <c r="F31" s="6"/>
    </row>
    <row r="32" spans="1:6" x14ac:dyDescent="0.45">
      <c r="A32" s="6" t="s">
        <v>94</v>
      </c>
      <c r="B32" s="6">
        <v>-148.69835995409261</v>
      </c>
      <c r="C32" s="6"/>
      <c r="D32" s="6"/>
      <c r="E32" s="6"/>
      <c r="F32" s="6"/>
    </row>
    <row r="33" spans="1:6" x14ac:dyDescent="0.45">
      <c r="A33" s="6" t="s">
        <v>95</v>
      </c>
      <c r="B33" s="6">
        <v>-95.630613832134671</v>
      </c>
      <c r="C33" s="6"/>
      <c r="D33" s="6"/>
      <c r="E33" s="6"/>
      <c r="F33" s="6"/>
    </row>
    <row r="34" spans="1:6" ht="28.5" x14ac:dyDescent="0.45">
      <c r="A34" s="6" t="s">
        <v>96</v>
      </c>
      <c r="B34" s="6">
        <v>50.143144730584957</v>
      </c>
      <c r="C34" s="6"/>
      <c r="D34" s="6"/>
      <c r="E34" s="6"/>
      <c r="F34" s="6"/>
    </row>
    <row r="35" spans="1:6" x14ac:dyDescent="0.45">
      <c r="A35" s="6" t="s">
        <v>97</v>
      </c>
      <c r="B35" s="6">
        <v>-40.849239833777368</v>
      </c>
      <c r="C35" s="6"/>
      <c r="D35" s="6"/>
      <c r="E35" s="6"/>
      <c r="F35" s="6"/>
    </row>
    <row r="36" spans="1:6" x14ac:dyDescent="0.45">
      <c r="A36" s="6" t="s">
        <v>98</v>
      </c>
      <c r="B36" s="6">
        <v>194.68442437634241</v>
      </c>
      <c r="C36" s="6"/>
      <c r="D36" s="6"/>
      <c r="E36" s="6"/>
      <c r="F36" s="6"/>
    </row>
    <row r="37" spans="1:6" x14ac:dyDescent="0.45">
      <c r="A37" s="6" t="s">
        <v>99</v>
      </c>
      <c r="B37" s="6">
        <v>0.78127145972263579</v>
      </c>
      <c r="C37" s="6"/>
      <c r="D37" s="6"/>
      <c r="E37" s="6"/>
      <c r="F37" s="6"/>
    </row>
    <row r="38" spans="1:6" x14ac:dyDescent="0.45">
      <c r="A38" s="6" t="s">
        <v>100</v>
      </c>
      <c r="B38" s="6">
        <v>510.90560418421308</v>
      </c>
      <c r="C38" s="6"/>
      <c r="D38" s="6"/>
      <c r="E38" s="6"/>
      <c r="F38" s="6"/>
    </row>
    <row r="39" spans="1:6" x14ac:dyDescent="0.45">
      <c r="A39" s="6" t="s">
        <v>101</v>
      </c>
      <c r="B39" s="6">
        <v>-133.96398732702849</v>
      </c>
      <c r="C39" s="6"/>
      <c r="D39" s="6"/>
      <c r="E39" s="6"/>
      <c r="F39" s="6"/>
    </row>
    <row r="40" spans="1:6" ht="28.5" x14ac:dyDescent="0.45">
      <c r="A40" s="6" t="s">
        <v>102</v>
      </c>
      <c r="B40" s="6">
        <v>-211.87782002476271</v>
      </c>
      <c r="C40" s="6"/>
      <c r="D40" s="6"/>
      <c r="E40" s="6"/>
      <c r="F40" s="6"/>
    </row>
    <row r="41" spans="1:6" ht="28.5" x14ac:dyDescent="0.45">
      <c r="A41" s="6" t="s">
        <v>103</v>
      </c>
      <c r="B41" s="6">
        <v>-412.97521056780408</v>
      </c>
      <c r="C41" s="6"/>
      <c r="D41" s="6"/>
      <c r="E41" s="6"/>
      <c r="F41" s="6"/>
    </row>
    <row r="42" spans="1:6" x14ac:dyDescent="0.45">
      <c r="A42" s="6" t="s">
        <v>104</v>
      </c>
      <c r="B42" s="6">
        <v>-612.5743565647997</v>
      </c>
      <c r="C42" s="6"/>
      <c r="D42" s="6"/>
      <c r="E42" s="6"/>
      <c r="F42" s="6"/>
    </row>
    <row r="43" spans="1:6" ht="28.5" x14ac:dyDescent="0.45">
      <c r="A43" s="6" t="s">
        <v>105</v>
      </c>
      <c r="B43" s="6">
        <v>-528.85592427113238</v>
      </c>
      <c r="C43" s="6"/>
      <c r="D43" s="6"/>
      <c r="E43" s="6"/>
      <c r="F43" s="6"/>
    </row>
    <row r="44" spans="1:6" x14ac:dyDescent="0.45">
      <c r="A44" s="6" t="s">
        <v>106</v>
      </c>
      <c r="B44" s="6">
        <v>-168.15753321073021</v>
      </c>
      <c r="C44" s="6"/>
      <c r="D44" s="6"/>
      <c r="E44" s="6"/>
      <c r="F44" s="6"/>
    </row>
    <row r="45" spans="1:6" x14ac:dyDescent="0.45">
      <c r="A45" s="6" t="s">
        <v>107</v>
      </c>
      <c r="B45" s="6">
        <v>9.8921540209079968</v>
      </c>
      <c r="C45" s="6"/>
      <c r="D45" s="6"/>
      <c r="E45" s="6"/>
      <c r="F45" s="6"/>
    </row>
    <row r="46" spans="1:6" x14ac:dyDescent="0.45">
      <c r="A46" s="6" t="s">
        <v>108</v>
      </c>
      <c r="B46" s="6">
        <v>6.9541217303619316</v>
      </c>
      <c r="C46" s="6"/>
      <c r="D46" s="6"/>
      <c r="E46" s="6"/>
      <c r="F46" s="6"/>
    </row>
    <row r="47" spans="1:6" x14ac:dyDescent="0.45">
      <c r="A47" s="6" t="s">
        <v>109</v>
      </c>
      <c r="B47" s="6">
        <v>-7.1909242567868246</v>
      </c>
      <c r="C47" s="6"/>
      <c r="D47" s="6"/>
      <c r="E47" s="6"/>
      <c r="F47" s="6"/>
    </row>
    <row r="48" spans="1:6" x14ac:dyDescent="0.45">
      <c r="A48" s="6" t="s">
        <v>110</v>
      </c>
      <c r="B48" s="6">
        <v>-7.2142064075851113</v>
      </c>
      <c r="C48" s="6"/>
      <c r="D48" s="6"/>
      <c r="E48" s="6"/>
      <c r="F48" s="6"/>
    </row>
    <row r="49" spans="1:6" ht="28.5" x14ac:dyDescent="0.45">
      <c r="A49" s="6" t="s">
        <v>111</v>
      </c>
      <c r="B49" s="6">
        <v>2.2947583986944098</v>
      </c>
      <c r="C49" s="6"/>
      <c r="D49" s="6"/>
      <c r="E49" s="6"/>
      <c r="F49" s="6"/>
    </row>
    <row r="50" spans="1:6" ht="28.5" x14ac:dyDescent="0.45">
      <c r="A50" s="6" t="s">
        <v>112</v>
      </c>
      <c r="B50" s="6">
        <v>-4.3908990202836051</v>
      </c>
      <c r="C50" s="6"/>
      <c r="D50" s="6"/>
      <c r="E50" s="6"/>
      <c r="F50" s="6"/>
    </row>
    <row r="51" spans="1:6" x14ac:dyDescent="0.45">
      <c r="A51" s="6" t="s">
        <v>113</v>
      </c>
      <c r="B51" s="6">
        <v>-3.7549504077308589</v>
      </c>
      <c r="C51" s="6"/>
      <c r="D51" s="6"/>
      <c r="E51" s="6"/>
      <c r="F51" s="6"/>
    </row>
    <row r="52" spans="1:6" x14ac:dyDescent="0.45">
      <c r="A52" s="6" t="s">
        <v>114</v>
      </c>
      <c r="B52" s="6">
        <v>13.29661373540104</v>
      </c>
      <c r="C52" s="6"/>
      <c r="D52" s="6"/>
      <c r="E52" s="6"/>
      <c r="F52" s="6"/>
    </row>
    <row r="53" spans="1:6" x14ac:dyDescent="0.45">
      <c r="A53" s="6" t="s">
        <v>115</v>
      </c>
      <c r="B53" s="6">
        <v>-2.0679471899564899</v>
      </c>
      <c r="C53" s="6"/>
      <c r="D53" s="6"/>
      <c r="E53" s="6"/>
      <c r="F53" s="6"/>
    </row>
    <row r="54" spans="1:6" x14ac:dyDescent="0.45">
      <c r="A54" s="6" t="s">
        <v>116</v>
      </c>
      <c r="B54" s="6">
        <v>-8.5189788251284249</v>
      </c>
      <c r="C54" s="6"/>
      <c r="D54" s="6"/>
      <c r="E54" s="6"/>
      <c r="F54" s="6"/>
    </row>
    <row r="55" spans="1:6" x14ac:dyDescent="0.45">
      <c r="A55" s="6" t="s">
        <v>117</v>
      </c>
      <c r="B55" s="6">
        <v>4.1512020266008802</v>
      </c>
      <c r="C55" s="6"/>
      <c r="D55" s="6"/>
      <c r="E55" s="6"/>
      <c r="F55" s="6"/>
    </row>
    <row r="56" spans="1:6" x14ac:dyDescent="0.45">
      <c r="A56" s="6" t="s">
        <v>118</v>
      </c>
      <c r="B56" s="6">
        <v>10.31836382818144</v>
      </c>
      <c r="C56" s="6"/>
      <c r="D56" s="6"/>
      <c r="E56" s="6"/>
      <c r="F56" s="6"/>
    </row>
    <row r="57" spans="1:6" x14ac:dyDescent="0.45">
      <c r="A57" s="6" t="s">
        <v>119</v>
      </c>
      <c r="B57" s="6">
        <v>6.0032747019577997</v>
      </c>
      <c r="C57" s="6"/>
      <c r="D57" s="6"/>
      <c r="E57" s="6"/>
      <c r="F57" s="6"/>
    </row>
    <row r="58" spans="1:6" x14ac:dyDescent="0.45">
      <c r="A58" s="6" t="s">
        <v>120</v>
      </c>
      <c r="B58" s="6">
        <v>6.451139227413238</v>
      </c>
      <c r="C58" s="6"/>
      <c r="D58" s="6"/>
      <c r="E58" s="6"/>
      <c r="F58" s="6"/>
    </row>
    <row r="59" spans="1:6" x14ac:dyDescent="0.45">
      <c r="A59" s="6" t="s">
        <v>121</v>
      </c>
      <c r="B59" s="6">
        <v>7.9376074981815901</v>
      </c>
      <c r="C59" s="6"/>
      <c r="D59" s="6"/>
      <c r="E59" s="6"/>
      <c r="F59" s="6"/>
    </row>
    <row r="60" spans="1:6" x14ac:dyDescent="0.45">
      <c r="A60" s="6" t="s">
        <v>122</v>
      </c>
      <c r="B60" s="6">
        <v>11.45341378656129</v>
      </c>
      <c r="C60" s="6"/>
      <c r="D60" s="6"/>
      <c r="E60" s="6"/>
      <c r="F60" s="6"/>
    </row>
    <row r="61" spans="1:6" x14ac:dyDescent="0.45">
      <c r="A61" s="6" t="s">
        <v>123</v>
      </c>
      <c r="B61" s="6">
        <v>-25.705695266911999</v>
      </c>
      <c r="C61" s="6"/>
      <c r="D61" s="6"/>
      <c r="E61" s="6"/>
      <c r="F61" s="6"/>
    </row>
    <row r="62" spans="1:6" x14ac:dyDescent="0.45">
      <c r="A62" s="6" t="s">
        <v>124</v>
      </c>
      <c r="B62" s="6">
        <v>11.443622140310209</v>
      </c>
      <c r="C62" s="6"/>
      <c r="D62" s="6"/>
      <c r="E62" s="6"/>
      <c r="F62" s="6"/>
    </row>
    <row r="63" spans="1:6" x14ac:dyDescent="0.45">
      <c r="A63" s="6" t="s">
        <v>125</v>
      </c>
      <c r="B63" s="6">
        <v>-12.46905652426608</v>
      </c>
      <c r="C63" s="6"/>
      <c r="D63" s="6"/>
      <c r="E63" s="6"/>
      <c r="F63" s="6"/>
    </row>
    <row r="64" spans="1:6" x14ac:dyDescent="0.45">
      <c r="A64" s="6" t="s">
        <v>126</v>
      </c>
      <c r="B64" s="6">
        <v>-28.681686686259638</v>
      </c>
      <c r="C64" s="6"/>
      <c r="D64" s="6"/>
      <c r="E64" s="6"/>
      <c r="F64" s="6"/>
    </row>
    <row r="65" spans="1:6" x14ac:dyDescent="0.45">
      <c r="A65" s="6" t="s">
        <v>127</v>
      </c>
      <c r="B65" s="6">
        <v>23.399614628654501</v>
      </c>
      <c r="C65" s="6"/>
      <c r="D65" s="6"/>
      <c r="E65" s="6"/>
      <c r="F65" s="6"/>
    </row>
    <row r="66" spans="1:6" x14ac:dyDescent="0.45">
      <c r="A66" s="6" t="s">
        <v>128</v>
      </c>
      <c r="B66" s="6">
        <v>12.45961217422586</v>
      </c>
      <c r="C66" s="6"/>
      <c r="D66" s="6"/>
      <c r="E66" s="6"/>
      <c r="F66" s="6"/>
    </row>
    <row r="67" spans="1:6" x14ac:dyDescent="0.45">
      <c r="A67" s="6" t="s">
        <v>129</v>
      </c>
      <c r="B67" s="6">
        <v>22.959684452925259</v>
      </c>
      <c r="C67" s="6"/>
      <c r="D67" s="6"/>
      <c r="E67" s="6"/>
      <c r="F67" s="6"/>
    </row>
    <row r="68" spans="1:6" x14ac:dyDescent="0.45">
      <c r="A68" s="6" t="s">
        <v>130</v>
      </c>
      <c r="B68" s="6">
        <v>13.1071333087621</v>
      </c>
      <c r="C68" s="6"/>
      <c r="D68" s="6"/>
      <c r="E68" s="6"/>
      <c r="F68" s="6"/>
    </row>
    <row r="69" spans="1:6" x14ac:dyDescent="0.45">
      <c r="A69" s="6" t="s">
        <v>131</v>
      </c>
      <c r="B69" s="6">
        <v>-368.66183245301357</v>
      </c>
      <c r="C69" s="6"/>
      <c r="D69" s="6"/>
      <c r="E69" s="6"/>
      <c r="F69" s="6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37</vt:i4>
      </vt:variant>
    </vt:vector>
  </HeadingPairs>
  <TitlesOfParts>
    <vt:vector size="40" baseType="lpstr">
      <vt:lpstr>Calculadora</vt:lpstr>
      <vt:lpstr>Apoio</vt:lpstr>
      <vt:lpstr>Documentacao</vt:lpstr>
      <vt:lpstr>CAC_Maximo_Recomendado</vt:lpstr>
      <vt:lpstr>CACReal_Input</vt:lpstr>
      <vt:lpstr>Categorias_Dia_Semana_Modelo</vt:lpstr>
      <vt:lpstr>Categorias_Fonte_Campanha_Modelo</vt:lpstr>
      <vt:lpstr>Categorias_Formacao_Modelo</vt:lpstr>
      <vt:lpstr>Categorias_Mes_Modelo</vt:lpstr>
      <vt:lpstr>Categorias_Produto_Fonte_Modelo</vt:lpstr>
      <vt:lpstr>Categorias_Sexo_Modelo</vt:lpstr>
      <vt:lpstr>Coef_Dia_Semana</vt:lpstr>
      <vt:lpstr>Coef_Fonte_Campanha</vt:lpstr>
      <vt:lpstr>Coef_Formacao</vt:lpstr>
      <vt:lpstr>Coef_Mes_Compra</vt:lpstr>
      <vt:lpstr>Coef_Produto_Fonte</vt:lpstr>
      <vt:lpstr>Coef_Recorrente1Compra</vt:lpstr>
      <vt:lpstr>Coef_Sexo</vt:lpstr>
      <vt:lpstr>Coef_Valor1Compra</vt:lpstr>
      <vt:lpstr>DiaSemanaCompra_Input</vt:lpstr>
      <vt:lpstr>FonteCampanha_Input</vt:lpstr>
      <vt:lpstr>Formacao_Input</vt:lpstr>
      <vt:lpstr>Intercepto_Modelo</vt:lpstr>
      <vt:lpstr>Lista_Dia_Semana</vt:lpstr>
      <vt:lpstr>Lista_Fonte_Campanha</vt:lpstr>
      <vt:lpstr>Lista_Formacao</vt:lpstr>
      <vt:lpstr>Lista_Mes_Compra</vt:lpstr>
      <vt:lpstr>Lista_Produto_Fonte</vt:lpstr>
      <vt:lpstr>Lista_Sexo</vt:lpstr>
      <vt:lpstr>LTV_Previsto</vt:lpstr>
      <vt:lpstr>MesCompra_Input</vt:lpstr>
      <vt:lpstr>ProdutoFonte_Input</vt:lpstr>
      <vt:lpstr>Razao_LTV_CAC_Alvo</vt:lpstr>
      <vt:lpstr>Recorrente1Compra_Input</vt:lpstr>
      <vt:lpstr>Sexo_Input</vt:lpstr>
      <vt:lpstr>Status_Aquisicao</vt:lpstr>
      <vt:lpstr>Valor1Compra_Input</vt:lpstr>
      <vt:lpstr>Valor1Compra_Mean</vt:lpstr>
      <vt:lpstr>Valor1Compra_Scale</vt:lpstr>
      <vt:lpstr>Valor1Compra_Z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FHB_Data Scientist</cp:lastModifiedBy>
  <dcterms:created xsi:type="dcterms:W3CDTF">2026-08-17T15:32:25Z</dcterms:created>
  <dcterms:modified xsi:type="dcterms:W3CDTF">2026-08-17T15:32:25Z</dcterms:modified>
</cp:coreProperties>
</file>